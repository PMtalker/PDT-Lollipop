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liveumb-my.sharepoint.com/personal/paul_marlier001_umb_edu/Documents/Dr Celli/"/>
    </mc:Choice>
  </mc:AlternateContent>
  <xr:revisionPtr revIDLastSave="473" documentId="11_F25DC773A252ABDACC1048D831D85F0C5ADE58EF" xr6:coauthVersionLast="47" xr6:coauthVersionMax="47" xr10:uidLastSave="{9A49EDC8-0DB8-46C3-86FF-2A2A7124DD2D}"/>
  <bookViews>
    <workbookView xWindow="-120" yWindow="-120" windowWidth="20730" windowHeight="11040" activeTab="1" xr2:uid="{00000000-000D-0000-FFFF-FFFF00000000}"/>
  </bookViews>
  <sheets>
    <sheet name="WeightData" sheetId="1" r:id="rId1"/>
    <sheet name="Gel" sheetId="4" r:id="rId2"/>
    <sheet name="PowerData" sheetId="2" r:id="rId3"/>
    <sheet name="Intensit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9" i="3"/>
  <c r="C8" i="3"/>
  <c r="C7" i="3"/>
  <c r="I15" i="3"/>
  <c r="J15" i="3"/>
  <c r="H15" i="3"/>
  <c r="C4" i="3"/>
  <c r="C5" i="3"/>
  <c r="C3" i="3"/>
  <c r="D5" i="1"/>
  <c r="D6" i="1"/>
  <c r="D7" i="1"/>
  <c r="D8" i="1"/>
  <c r="D9" i="1"/>
  <c r="D10" i="1"/>
  <c r="D11" i="1"/>
  <c r="D12" i="1"/>
  <c r="D13" i="1"/>
  <c r="D14" i="1"/>
  <c r="D15" i="1"/>
  <c r="D17" i="1"/>
  <c r="D18" i="1"/>
  <c r="D19" i="1"/>
  <c r="D20" i="1"/>
  <c r="D4" i="1"/>
</calcChain>
</file>

<file path=xl/sharedStrings.xml><?xml version="1.0" encoding="utf-8"?>
<sst xmlns="http://schemas.openxmlformats.org/spreadsheetml/2006/main" count="96" uniqueCount="45">
  <si>
    <t>C1</t>
  </si>
  <si>
    <t>C2</t>
  </si>
  <si>
    <t>C3</t>
  </si>
  <si>
    <t>C4</t>
  </si>
  <si>
    <t>B1</t>
  </si>
  <si>
    <t>B2</t>
  </si>
  <si>
    <t>B3</t>
  </si>
  <si>
    <t>B4</t>
  </si>
  <si>
    <t>M1</t>
  </si>
  <si>
    <t>M2</t>
  </si>
  <si>
    <t>M3</t>
  </si>
  <si>
    <t>M4</t>
  </si>
  <si>
    <t>3.5C1</t>
  </si>
  <si>
    <t>3.5C2</t>
  </si>
  <si>
    <t>3.5C3</t>
  </si>
  <si>
    <t>3.5C4</t>
  </si>
  <si>
    <t>Weight (g)</t>
  </si>
  <si>
    <t>Weight w/ Gel (g)</t>
  </si>
  <si>
    <t>Gel Weight (g)</t>
  </si>
  <si>
    <t>Weight of Gel</t>
  </si>
  <si>
    <t>Disk 5.0 cm</t>
  </si>
  <si>
    <t>Disk 3.5 cm</t>
  </si>
  <si>
    <t>Power Measurements</t>
  </si>
  <si>
    <t>C</t>
  </si>
  <si>
    <t>T</t>
  </si>
  <si>
    <t>L</t>
  </si>
  <si>
    <t>R</t>
  </si>
  <si>
    <t>B</t>
  </si>
  <si>
    <t>Air</t>
  </si>
  <si>
    <t>1.0 cm</t>
  </si>
  <si>
    <t>2.0 cm</t>
  </si>
  <si>
    <t>3.0 cm</t>
  </si>
  <si>
    <t>mW</t>
  </si>
  <si>
    <t>I_O</t>
  </si>
  <si>
    <t>r</t>
  </si>
  <si>
    <t>Inverse Square Law (mW)</t>
  </si>
  <si>
    <t>Intensity Measured (mW)</t>
  </si>
  <si>
    <t xml:space="preserve"> </t>
  </si>
  <si>
    <t>AVG</t>
  </si>
  <si>
    <t>Measured Intensity in Z axis</t>
  </si>
  <si>
    <t>Measured Intensity 90 deg from Z axis (AVG)</t>
  </si>
  <si>
    <t>Measured Intensity 90 deg from Z axis (AIR)</t>
  </si>
  <si>
    <t>H20 (mL)</t>
  </si>
  <si>
    <t>Agarose (g)</t>
  </si>
  <si>
    <t>TiO2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</si>
</sst>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C26" sqref="C26"/>
    </sheetView>
  </sheetViews>
  <sheetFormatPr defaultRowHeight="15" x14ac:dyDescent="0.25"/>
  <cols>
    <col min="1" max="1" width="12" customWidth="1"/>
    <col min="2" max="2" width="11.28515625" style="3" customWidth="1"/>
    <col min="3" max="3" width="12" style="3" customWidth="1"/>
    <col min="4" max="4" width="10.7109375" style="3" customWidth="1"/>
  </cols>
  <sheetData>
    <row r="1" spans="1:4" x14ac:dyDescent="0.25">
      <c r="A1" s="23" t="s">
        <v>19</v>
      </c>
      <c r="B1" s="23"/>
      <c r="C1" s="23"/>
      <c r="D1" s="23"/>
    </row>
    <row r="2" spans="1:4" s="1" customFormat="1" ht="30" x14ac:dyDescent="0.25">
      <c r="B2" s="4" t="s">
        <v>16</v>
      </c>
      <c r="C2" s="4" t="s">
        <v>17</v>
      </c>
      <c r="D2" s="4" t="s">
        <v>18</v>
      </c>
    </row>
    <row r="3" spans="1:4" s="1" customFormat="1" x14ac:dyDescent="0.25">
      <c r="A3" s="25" t="s">
        <v>20</v>
      </c>
      <c r="B3" s="25"/>
      <c r="C3" s="25"/>
      <c r="D3" s="25"/>
    </row>
    <row r="4" spans="1:4" x14ac:dyDescent="0.25">
      <c r="A4" t="s">
        <v>0</v>
      </c>
      <c r="B4" s="3">
        <v>5.5814000000000004</v>
      </c>
      <c r="C4" s="3">
        <v>22.725000000000001</v>
      </c>
      <c r="D4" s="3">
        <f>(C4-B4)</f>
        <v>17.143599999999999</v>
      </c>
    </row>
    <row r="5" spans="1:4" x14ac:dyDescent="0.25">
      <c r="A5" t="s">
        <v>1</v>
      </c>
      <c r="B5" s="3">
        <v>5.4980000000000002</v>
      </c>
      <c r="C5" s="3">
        <v>20.219799999999999</v>
      </c>
      <c r="D5" s="3">
        <f t="shared" ref="D5:D20" si="0">(C5-B5)</f>
        <v>14.721799999999998</v>
      </c>
    </row>
    <row r="6" spans="1:4" x14ac:dyDescent="0.25">
      <c r="A6" t="s">
        <v>2</v>
      </c>
      <c r="B6" s="3">
        <v>5.5716000000000001</v>
      </c>
      <c r="C6" s="3">
        <v>23.968499999999999</v>
      </c>
      <c r="D6" s="3">
        <f t="shared" si="0"/>
        <v>18.396899999999999</v>
      </c>
    </row>
    <row r="7" spans="1:4" x14ac:dyDescent="0.25">
      <c r="A7" t="s">
        <v>3</v>
      </c>
      <c r="B7" s="3">
        <v>5.7026000000000003</v>
      </c>
      <c r="C7" s="3">
        <v>22.2377</v>
      </c>
      <c r="D7" s="3">
        <f t="shared" si="0"/>
        <v>16.5351</v>
      </c>
    </row>
    <row r="8" spans="1:4" x14ac:dyDescent="0.25">
      <c r="A8" t="s">
        <v>4</v>
      </c>
      <c r="B8" s="3">
        <v>6.5704000000000002</v>
      </c>
      <c r="C8" s="3">
        <v>23.8095</v>
      </c>
      <c r="D8" s="3">
        <f t="shared" si="0"/>
        <v>17.239100000000001</v>
      </c>
    </row>
    <row r="9" spans="1:4" x14ac:dyDescent="0.25">
      <c r="A9" t="s">
        <v>5</v>
      </c>
      <c r="B9" s="3">
        <v>6.665</v>
      </c>
      <c r="C9" s="3">
        <v>25.258600000000001</v>
      </c>
      <c r="D9" s="3">
        <f t="shared" si="0"/>
        <v>18.593600000000002</v>
      </c>
    </row>
    <row r="10" spans="1:4" x14ac:dyDescent="0.25">
      <c r="A10" t="s">
        <v>6</v>
      </c>
      <c r="B10" s="3">
        <v>6.6406999999999998</v>
      </c>
      <c r="C10" s="3">
        <v>24.472300000000001</v>
      </c>
      <c r="D10" s="3">
        <f t="shared" si="0"/>
        <v>17.831600000000002</v>
      </c>
    </row>
    <row r="11" spans="1:4" x14ac:dyDescent="0.25">
      <c r="A11" t="s">
        <v>7</v>
      </c>
      <c r="B11" s="3">
        <v>6.7377000000000002</v>
      </c>
      <c r="C11" s="3">
        <v>23.823499999999999</v>
      </c>
      <c r="D11" s="3">
        <f t="shared" si="0"/>
        <v>17.085799999999999</v>
      </c>
    </row>
    <row r="12" spans="1:4" x14ac:dyDescent="0.25">
      <c r="A12" t="s">
        <v>8</v>
      </c>
      <c r="B12" s="3">
        <v>7.8708</v>
      </c>
      <c r="C12" s="3">
        <v>24.17</v>
      </c>
      <c r="D12" s="3">
        <f t="shared" si="0"/>
        <v>16.299200000000003</v>
      </c>
    </row>
    <row r="13" spans="1:4" x14ac:dyDescent="0.25">
      <c r="A13" t="s">
        <v>9</v>
      </c>
      <c r="B13" s="3">
        <v>7.9782000000000002</v>
      </c>
      <c r="C13" s="3">
        <v>23.671199999999999</v>
      </c>
      <c r="D13" s="3">
        <f t="shared" si="0"/>
        <v>15.692999999999998</v>
      </c>
    </row>
    <row r="14" spans="1:4" x14ac:dyDescent="0.25">
      <c r="A14" t="s">
        <v>10</v>
      </c>
      <c r="B14" s="3">
        <v>7.9715999999999996</v>
      </c>
      <c r="C14" s="3">
        <v>24.079499999999999</v>
      </c>
      <c r="D14" s="3">
        <f t="shared" si="0"/>
        <v>16.107900000000001</v>
      </c>
    </row>
    <row r="15" spans="1:4" x14ac:dyDescent="0.25">
      <c r="A15" t="s">
        <v>11</v>
      </c>
      <c r="B15" s="3">
        <v>7.8776000000000002</v>
      </c>
      <c r="C15" s="3">
        <v>23.070799999999998</v>
      </c>
      <c r="D15" s="3">
        <f t="shared" si="0"/>
        <v>15.193199999999997</v>
      </c>
    </row>
    <row r="16" spans="1:4" x14ac:dyDescent="0.25">
      <c r="A16" s="24" t="s">
        <v>21</v>
      </c>
      <c r="B16" s="24"/>
      <c r="C16" s="24"/>
      <c r="D16" s="24"/>
    </row>
    <row r="17" spans="1:4" x14ac:dyDescent="0.25">
      <c r="A17" t="s">
        <v>12</v>
      </c>
      <c r="B17" s="3">
        <v>2.0703999999999998</v>
      </c>
      <c r="C17" s="3">
        <v>8.7776999999999994</v>
      </c>
      <c r="D17" s="3">
        <f t="shared" si="0"/>
        <v>6.7073</v>
      </c>
    </row>
    <row r="18" spans="1:4" x14ac:dyDescent="0.25">
      <c r="A18" t="s">
        <v>13</v>
      </c>
      <c r="B18" s="3">
        <v>2.0430999999999999</v>
      </c>
      <c r="C18" s="3">
        <v>9.5449999999999999</v>
      </c>
      <c r="D18" s="3">
        <f t="shared" si="0"/>
        <v>7.5019</v>
      </c>
    </row>
    <row r="19" spans="1:4" x14ac:dyDescent="0.25">
      <c r="A19" t="s">
        <v>14</v>
      </c>
      <c r="B19" s="3">
        <v>2.0670999999999999</v>
      </c>
      <c r="C19" s="3">
        <v>9.4588000000000001</v>
      </c>
      <c r="D19" s="3">
        <f t="shared" si="0"/>
        <v>7.3917000000000002</v>
      </c>
    </row>
    <row r="20" spans="1:4" x14ac:dyDescent="0.25">
      <c r="A20" t="s">
        <v>15</v>
      </c>
      <c r="B20" s="3">
        <v>2.0695000000000001</v>
      </c>
      <c r="C20" s="3">
        <v>8.7455999999999996</v>
      </c>
      <c r="D20" s="3">
        <f t="shared" si="0"/>
        <v>6.6760999999999999</v>
      </c>
    </row>
  </sheetData>
  <mergeCells count="3">
    <mergeCell ref="A1:D1"/>
    <mergeCell ref="A16:D16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3F7D-ED57-43A0-9798-1583E1F30016}">
  <dimension ref="A1:D5"/>
  <sheetViews>
    <sheetView tabSelected="1" workbookViewId="0">
      <selection sqref="A1:D5"/>
    </sheetView>
  </sheetViews>
  <sheetFormatPr defaultRowHeight="15" x14ac:dyDescent="0.25"/>
  <cols>
    <col min="2" max="2" width="15.7109375" customWidth="1"/>
    <col min="3" max="4" width="15.7109375" style="3" customWidth="1"/>
  </cols>
  <sheetData>
    <row r="1" spans="1:4" x14ac:dyDescent="0.25">
      <c r="B1" s="5" t="s">
        <v>42</v>
      </c>
      <c r="C1" s="34" t="s">
        <v>43</v>
      </c>
      <c r="D1" s="34" t="s">
        <v>44</v>
      </c>
    </row>
    <row r="2" spans="1:4" x14ac:dyDescent="0.25">
      <c r="A2">
        <v>1</v>
      </c>
      <c r="B2">
        <v>100</v>
      </c>
      <c r="C2" s="3">
        <v>1.5039</v>
      </c>
      <c r="D2" s="3">
        <v>5.7799999999999997E-2</v>
      </c>
    </row>
    <row r="3" spans="1:4" x14ac:dyDescent="0.25">
      <c r="A3">
        <v>2</v>
      </c>
      <c r="B3">
        <v>100</v>
      </c>
      <c r="C3" s="3">
        <v>1.4910000000000001</v>
      </c>
      <c r="D3" s="3">
        <v>2.8400000000000002E-2</v>
      </c>
    </row>
    <row r="4" spans="1:4" x14ac:dyDescent="0.25">
      <c r="A4">
        <v>3</v>
      </c>
      <c r="B4">
        <v>100</v>
      </c>
      <c r="C4" s="3">
        <v>1.5026999999999999</v>
      </c>
      <c r="D4" s="3">
        <v>1.7500000000000002E-2</v>
      </c>
    </row>
    <row r="5" spans="1:4" x14ac:dyDescent="0.25">
      <c r="A5">
        <v>4</v>
      </c>
      <c r="B5">
        <v>100</v>
      </c>
      <c r="C5" s="3">
        <v>1.506</v>
      </c>
      <c r="D5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F8BD-E072-4849-A835-0ED4F4D4896D}">
  <dimension ref="A1:W22"/>
  <sheetViews>
    <sheetView topLeftCell="A7" workbookViewId="0">
      <selection activeCell="D25" sqref="D25"/>
    </sheetView>
  </sheetViews>
  <sheetFormatPr defaultRowHeight="15" x14ac:dyDescent="0.25"/>
  <cols>
    <col min="1" max="1" width="12.42578125" customWidth="1"/>
    <col min="2" max="6" width="9.140625" style="2"/>
    <col min="9" max="19" width="4.5703125" style="2" customWidth="1"/>
    <col min="20" max="23" width="4.5703125" customWidth="1"/>
  </cols>
  <sheetData>
    <row r="1" spans="1:23" x14ac:dyDescent="0.25">
      <c r="A1" t="s">
        <v>22</v>
      </c>
    </row>
    <row r="2" spans="1:23" x14ac:dyDescent="0.25"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</row>
    <row r="3" spans="1:23" x14ac:dyDescent="0.25">
      <c r="A3" t="s">
        <v>20</v>
      </c>
      <c r="I3" s="22" t="s">
        <v>4</v>
      </c>
      <c r="J3" s="7">
        <v>0</v>
      </c>
      <c r="K3" s="8"/>
      <c r="M3" s="6" t="s">
        <v>0</v>
      </c>
      <c r="N3" s="7">
        <v>0.02</v>
      </c>
      <c r="O3" s="8"/>
      <c r="Q3" s="6" t="s">
        <v>8</v>
      </c>
      <c r="R3" s="7">
        <v>0.01</v>
      </c>
      <c r="S3" s="8"/>
      <c r="U3" s="14" t="s">
        <v>12</v>
      </c>
      <c r="V3" s="15"/>
      <c r="W3" s="16"/>
    </row>
    <row r="4" spans="1:23" x14ac:dyDescent="0.25">
      <c r="A4" t="s">
        <v>0</v>
      </c>
      <c r="B4" s="2">
        <v>0.1</v>
      </c>
      <c r="C4" s="2">
        <v>0.02</v>
      </c>
      <c r="D4" s="2">
        <v>7.0000000000000007E-2</v>
      </c>
      <c r="E4" s="2">
        <v>0.06</v>
      </c>
      <c r="F4" s="2">
        <v>1.42</v>
      </c>
      <c r="I4" s="9">
        <v>0</v>
      </c>
      <c r="J4" s="2">
        <v>0</v>
      </c>
      <c r="K4" s="10">
        <v>0</v>
      </c>
      <c r="M4" s="9">
        <v>7.0000000000000007E-2</v>
      </c>
      <c r="N4" s="2">
        <v>0.1</v>
      </c>
      <c r="O4" s="10">
        <v>0.06</v>
      </c>
      <c r="Q4" s="9">
        <v>0.05</v>
      </c>
      <c r="R4" s="2">
        <v>0.09</v>
      </c>
      <c r="S4" s="10">
        <v>0.05</v>
      </c>
      <c r="U4" s="17"/>
      <c r="V4" s="2">
        <v>0.26</v>
      </c>
      <c r="W4" s="18"/>
    </row>
    <row r="5" spans="1:23" x14ac:dyDescent="0.25">
      <c r="A5" t="s">
        <v>1</v>
      </c>
      <c r="B5" s="2">
        <v>0.16</v>
      </c>
      <c r="C5" s="2">
        <v>0.04</v>
      </c>
      <c r="D5" s="2">
        <v>0.12</v>
      </c>
      <c r="E5" s="2">
        <v>0.09</v>
      </c>
      <c r="F5" s="2">
        <v>1.64</v>
      </c>
      <c r="I5" s="11"/>
      <c r="J5" s="12">
        <v>0.03</v>
      </c>
      <c r="K5" s="13"/>
      <c r="M5" s="11"/>
      <c r="N5" s="12">
        <v>1.42</v>
      </c>
      <c r="O5" s="13"/>
      <c r="Q5" s="11"/>
      <c r="R5" s="12">
        <v>1.1000000000000001</v>
      </c>
      <c r="S5" s="13"/>
      <c r="U5" s="19"/>
      <c r="V5" s="20"/>
      <c r="W5" s="21"/>
    </row>
    <row r="6" spans="1:23" x14ac:dyDescent="0.25">
      <c r="A6" t="s">
        <v>2</v>
      </c>
      <c r="B6" s="2">
        <v>0.49</v>
      </c>
      <c r="C6" s="2">
        <v>0.11</v>
      </c>
      <c r="D6" s="2">
        <v>0.32</v>
      </c>
      <c r="E6" s="2">
        <v>0.3</v>
      </c>
      <c r="F6" s="2">
        <v>2.61</v>
      </c>
    </row>
    <row r="7" spans="1:23" x14ac:dyDescent="0.25">
      <c r="A7" t="s">
        <v>3</v>
      </c>
      <c r="B7" s="2">
        <v>0.83</v>
      </c>
      <c r="C7" s="2">
        <v>1.53</v>
      </c>
      <c r="D7" s="2">
        <v>0.55000000000000004</v>
      </c>
      <c r="E7" s="2">
        <v>0.4</v>
      </c>
      <c r="F7" s="2">
        <v>1.46</v>
      </c>
      <c r="I7" s="6" t="s">
        <v>5</v>
      </c>
      <c r="J7" s="7">
        <v>0</v>
      </c>
      <c r="K7" s="8"/>
      <c r="M7" s="6" t="s">
        <v>1</v>
      </c>
      <c r="N7" s="7">
        <v>0.04</v>
      </c>
      <c r="O7" s="8"/>
      <c r="Q7" s="6" t="s">
        <v>9</v>
      </c>
      <c r="R7" s="7">
        <v>0.04</v>
      </c>
      <c r="S7" s="8"/>
      <c r="U7" s="14" t="s">
        <v>13</v>
      </c>
      <c r="V7" s="15"/>
      <c r="W7" s="16"/>
    </row>
    <row r="8" spans="1:23" x14ac:dyDescent="0.25">
      <c r="A8" t="s">
        <v>4</v>
      </c>
      <c r="B8" s="2">
        <v>0</v>
      </c>
      <c r="C8" s="2">
        <v>0</v>
      </c>
      <c r="D8" s="2">
        <v>0</v>
      </c>
      <c r="E8" s="2">
        <v>0</v>
      </c>
      <c r="F8" s="2">
        <v>0.03</v>
      </c>
      <c r="I8" s="9">
        <v>0.01</v>
      </c>
      <c r="J8" s="2">
        <v>0.02</v>
      </c>
      <c r="K8" s="10">
        <v>0.01</v>
      </c>
      <c r="M8" s="9">
        <v>0.12</v>
      </c>
      <c r="N8" s="2">
        <v>0.16</v>
      </c>
      <c r="O8" s="10">
        <v>0.09</v>
      </c>
      <c r="Q8" s="9">
        <v>0.14000000000000001</v>
      </c>
      <c r="R8" s="2">
        <v>0.33</v>
      </c>
      <c r="S8" s="10">
        <v>0.13</v>
      </c>
      <c r="U8" s="17"/>
      <c r="V8" s="2">
        <v>0.7</v>
      </c>
      <c r="W8" s="18"/>
    </row>
    <row r="9" spans="1:23" x14ac:dyDescent="0.25">
      <c r="A9" t="s">
        <v>5</v>
      </c>
      <c r="B9" s="2">
        <v>0.02</v>
      </c>
      <c r="C9" s="2">
        <v>0</v>
      </c>
      <c r="D9" s="2">
        <v>0.01</v>
      </c>
      <c r="E9" s="2">
        <v>0.01</v>
      </c>
      <c r="F9" s="2">
        <v>0.63</v>
      </c>
      <c r="I9" s="11"/>
      <c r="J9" s="12">
        <v>0.63</v>
      </c>
      <c r="K9" s="13"/>
      <c r="M9" s="11"/>
      <c r="N9" s="12">
        <v>1.64</v>
      </c>
      <c r="O9" s="13"/>
      <c r="Q9" s="11"/>
      <c r="R9" s="12">
        <v>1.2</v>
      </c>
      <c r="S9" s="13"/>
      <c r="U9" s="19"/>
      <c r="V9" s="20"/>
      <c r="W9" s="21"/>
    </row>
    <row r="10" spans="1:23" x14ac:dyDescent="0.25">
      <c r="A10" t="s">
        <v>6</v>
      </c>
      <c r="B10" s="2">
        <v>0.08</v>
      </c>
      <c r="C10" s="2">
        <v>0.01</v>
      </c>
      <c r="D10" s="2">
        <v>0.04</v>
      </c>
      <c r="E10" s="2">
        <v>0.03</v>
      </c>
      <c r="F10" s="2">
        <v>0.84</v>
      </c>
    </row>
    <row r="11" spans="1:23" x14ac:dyDescent="0.25">
      <c r="A11" t="s">
        <v>7</v>
      </c>
      <c r="B11" s="2">
        <v>0.13</v>
      </c>
      <c r="C11" s="2">
        <v>0.06</v>
      </c>
      <c r="D11" s="2">
        <v>0.09</v>
      </c>
      <c r="E11" s="2">
        <v>0.14000000000000001</v>
      </c>
      <c r="F11" s="2">
        <v>0.56999999999999995</v>
      </c>
      <c r="I11" s="6" t="s">
        <v>6</v>
      </c>
      <c r="J11" s="7">
        <v>0.01</v>
      </c>
      <c r="K11" s="8"/>
      <c r="M11" s="6" t="s">
        <v>2</v>
      </c>
      <c r="N11" s="7">
        <v>0.11</v>
      </c>
      <c r="O11" s="8"/>
      <c r="Q11" s="6" t="s">
        <v>10</v>
      </c>
      <c r="R11" s="7">
        <v>0.11</v>
      </c>
      <c r="S11" s="8"/>
      <c r="U11" s="14" t="s">
        <v>14</v>
      </c>
      <c r="V11" s="15"/>
      <c r="W11" s="16"/>
    </row>
    <row r="12" spans="1:23" x14ac:dyDescent="0.25">
      <c r="A12" t="s">
        <v>8</v>
      </c>
      <c r="B12" s="2">
        <v>0.09</v>
      </c>
      <c r="C12" s="2">
        <v>0.01</v>
      </c>
      <c r="D12" s="2">
        <v>0.05</v>
      </c>
      <c r="E12" s="2">
        <v>0.05</v>
      </c>
      <c r="F12" s="2">
        <v>1.1000000000000001</v>
      </c>
      <c r="I12" s="9">
        <v>0.04</v>
      </c>
      <c r="J12" s="2">
        <v>0.08</v>
      </c>
      <c r="K12" s="10">
        <v>0.03</v>
      </c>
      <c r="M12" s="9">
        <v>0.32</v>
      </c>
      <c r="N12" s="2">
        <v>0.49</v>
      </c>
      <c r="O12" s="10">
        <v>0.3</v>
      </c>
      <c r="Q12" s="9">
        <v>0.33</v>
      </c>
      <c r="R12" s="2">
        <v>0.38</v>
      </c>
      <c r="S12" s="10">
        <v>0.28000000000000003</v>
      </c>
      <c r="U12" s="17"/>
      <c r="V12" s="2">
        <v>0.96</v>
      </c>
      <c r="W12" s="18"/>
    </row>
    <row r="13" spans="1:23" x14ac:dyDescent="0.25">
      <c r="A13" t="s">
        <v>9</v>
      </c>
      <c r="B13" s="2">
        <v>0.33</v>
      </c>
      <c r="C13" s="2">
        <v>0.04</v>
      </c>
      <c r="D13" s="2">
        <v>0.14000000000000001</v>
      </c>
      <c r="E13" s="2">
        <v>0.13</v>
      </c>
      <c r="F13" s="2">
        <v>1.2</v>
      </c>
      <c r="I13" s="11"/>
      <c r="J13" s="12">
        <v>0.84</v>
      </c>
      <c r="K13" s="13"/>
      <c r="M13" s="11"/>
      <c r="N13" s="12">
        <v>2.61</v>
      </c>
      <c r="O13" s="13"/>
      <c r="Q13" s="11"/>
      <c r="R13" s="12">
        <v>1.83</v>
      </c>
      <c r="S13" s="13"/>
      <c r="U13" s="19"/>
      <c r="V13" s="20"/>
      <c r="W13" s="21"/>
    </row>
    <row r="14" spans="1:23" x14ac:dyDescent="0.25">
      <c r="A14" t="s">
        <v>10</v>
      </c>
      <c r="B14" s="2">
        <v>0.38</v>
      </c>
      <c r="C14" s="2">
        <v>0.11</v>
      </c>
      <c r="D14" s="2">
        <v>0.33</v>
      </c>
      <c r="E14" s="2">
        <v>0.28000000000000003</v>
      </c>
      <c r="F14" s="2">
        <v>1.83</v>
      </c>
    </row>
    <row r="15" spans="1:23" x14ac:dyDescent="0.25">
      <c r="A15" t="s">
        <v>11</v>
      </c>
      <c r="B15" s="2">
        <v>1.6</v>
      </c>
      <c r="C15" s="2">
        <v>1.19</v>
      </c>
      <c r="D15" s="2">
        <v>0.91</v>
      </c>
      <c r="E15" s="2">
        <v>1.04</v>
      </c>
      <c r="F15" s="2">
        <v>2.46</v>
      </c>
      <c r="I15" s="6" t="s">
        <v>7</v>
      </c>
      <c r="J15" s="7">
        <v>0.06</v>
      </c>
      <c r="K15" s="8"/>
      <c r="M15" s="6" t="s">
        <v>3</v>
      </c>
      <c r="N15" s="7">
        <v>1.53</v>
      </c>
      <c r="O15" s="8"/>
      <c r="Q15" s="6" t="s">
        <v>11</v>
      </c>
      <c r="R15" s="7">
        <v>1.19</v>
      </c>
      <c r="S15" s="8"/>
      <c r="U15" s="14" t="s">
        <v>15</v>
      </c>
      <c r="V15" s="15"/>
      <c r="W15" s="16"/>
    </row>
    <row r="16" spans="1:23" x14ac:dyDescent="0.25">
      <c r="A16" t="s">
        <v>21</v>
      </c>
      <c r="I16" s="9">
        <v>0.09</v>
      </c>
      <c r="J16" s="2">
        <v>0.13</v>
      </c>
      <c r="K16" s="10">
        <v>0.14000000000000001</v>
      </c>
      <c r="M16" s="9">
        <v>0.55000000000000004</v>
      </c>
      <c r="N16" s="2">
        <v>0.83</v>
      </c>
      <c r="O16" s="10">
        <v>0.4</v>
      </c>
      <c r="Q16" s="9">
        <v>0.91</v>
      </c>
      <c r="R16" s="2">
        <v>1.6</v>
      </c>
      <c r="S16" s="10">
        <v>1.04</v>
      </c>
      <c r="U16" s="17"/>
      <c r="V16" s="2">
        <v>0.98</v>
      </c>
      <c r="W16" s="18"/>
    </row>
    <row r="17" spans="1:23" x14ac:dyDescent="0.25">
      <c r="A17" t="s">
        <v>12</v>
      </c>
      <c r="B17" s="2">
        <v>0.26</v>
      </c>
      <c r="I17" s="11"/>
      <c r="J17" s="12">
        <v>0.56999999999999995</v>
      </c>
      <c r="K17" s="13"/>
      <c r="M17" s="11"/>
      <c r="N17" s="12">
        <v>1.46</v>
      </c>
      <c r="O17" s="13"/>
      <c r="Q17" s="11"/>
      <c r="R17" s="12">
        <v>2.46</v>
      </c>
      <c r="S17" s="13"/>
      <c r="U17" s="19"/>
      <c r="V17" s="20"/>
      <c r="W17" s="21"/>
    </row>
    <row r="18" spans="1:23" x14ac:dyDescent="0.25">
      <c r="A18" t="s">
        <v>13</v>
      </c>
      <c r="B18" s="2">
        <v>0.7</v>
      </c>
    </row>
    <row r="19" spans="1:23" x14ac:dyDescent="0.25">
      <c r="A19" t="s">
        <v>14</v>
      </c>
      <c r="B19" s="2">
        <v>0.96</v>
      </c>
      <c r="I19" s="6" t="s">
        <v>28</v>
      </c>
      <c r="J19" s="7">
        <v>0.27</v>
      </c>
      <c r="K19" s="8"/>
      <c r="P19" s="6"/>
      <c r="Q19" s="7"/>
      <c r="R19" s="28" t="s">
        <v>29</v>
      </c>
      <c r="S19" s="28"/>
      <c r="T19" s="28" t="s">
        <v>30</v>
      </c>
      <c r="U19" s="28"/>
      <c r="V19" s="28" t="s">
        <v>31</v>
      </c>
      <c r="W19" s="29"/>
    </row>
    <row r="20" spans="1:23" x14ac:dyDescent="0.25">
      <c r="A20" t="s">
        <v>15</v>
      </c>
      <c r="B20" s="2">
        <v>0.98</v>
      </c>
      <c r="I20" s="9">
        <v>0.31</v>
      </c>
      <c r="J20" s="2">
        <v>0.43</v>
      </c>
      <c r="K20" s="10">
        <v>0.21</v>
      </c>
      <c r="P20" s="11" t="s">
        <v>33</v>
      </c>
      <c r="Q20" s="12" t="s">
        <v>32</v>
      </c>
      <c r="R20" s="26">
        <v>42.4</v>
      </c>
      <c r="S20" s="26"/>
      <c r="T20" s="26">
        <v>19.3</v>
      </c>
      <c r="U20" s="26"/>
      <c r="V20" s="26">
        <v>8.4</v>
      </c>
      <c r="W20" s="27"/>
    </row>
    <row r="21" spans="1:23" x14ac:dyDescent="0.25">
      <c r="I21" s="11"/>
      <c r="J21" s="12">
        <v>1.23</v>
      </c>
      <c r="K21" s="13"/>
    </row>
    <row r="22" spans="1:23" x14ac:dyDescent="0.25">
      <c r="A22" t="s">
        <v>28</v>
      </c>
      <c r="B22" s="2">
        <v>0.43</v>
      </c>
      <c r="C22" s="2">
        <v>0.27</v>
      </c>
      <c r="D22" s="2">
        <v>0.31</v>
      </c>
      <c r="E22" s="2">
        <v>0.21</v>
      </c>
      <c r="F22" s="2">
        <v>1.23</v>
      </c>
    </row>
  </sheetData>
  <mergeCells count="6">
    <mergeCell ref="V20:W20"/>
    <mergeCell ref="V19:W19"/>
    <mergeCell ref="T19:U19"/>
    <mergeCell ref="R19:S19"/>
    <mergeCell ref="R20:S20"/>
    <mergeCell ref="T20:U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996F-F441-4BD9-A3EF-E58794BF1B44}">
  <dimension ref="A1:J15"/>
  <sheetViews>
    <sheetView workbookViewId="0">
      <selection activeCell="C14" sqref="C14"/>
    </sheetView>
  </sheetViews>
  <sheetFormatPr defaultRowHeight="15" x14ac:dyDescent="0.25"/>
  <cols>
    <col min="1" max="1" width="9.140625" customWidth="1"/>
    <col min="2" max="2" width="15.7109375" style="2" customWidth="1"/>
    <col min="3" max="3" width="15.7109375" style="30" customWidth="1"/>
    <col min="4" max="4" width="9.140625" style="2"/>
    <col min="8" max="10" width="9.140625" style="2"/>
  </cols>
  <sheetData>
    <row r="1" spans="1:10" s="1" customFormat="1" ht="30" x14ac:dyDescent="0.25">
      <c r="A1" s="1" t="s">
        <v>34</v>
      </c>
      <c r="B1" s="31" t="s">
        <v>36</v>
      </c>
      <c r="C1" s="32" t="s">
        <v>35</v>
      </c>
      <c r="D1" s="31"/>
      <c r="H1" s="31" t="s">
        <v>27</v>
      </c>
      <c r="I1" s="31" t="s">
        <v>23</v>
      </c>
      <c r="J1" s="31" t="s">
        <v>24</v>
      </c>
    </row>
    <row r="2" spans="1:10" s="1" customFormat="1" ht="15" customHeight="1" x14ac:dyDescent="0.25">
      <c r="A2" s="33" t="s">
        <v>39</v>
      </c>
      <c r="B2" s="33"/>
      <c r="C2" s="33"/>
      <c r="D2" s="31"/>
      <c r="G2" s="1" t="s">
        <v>20</v>
      </c>
      <c r="H2" s="31"/>
      <c r="I2" s="31"/>
      <c r="J2" s="31"/>
    </row>
    <row r="3" spans="1:10" ht="15" customHeight="1" x14ac:dyDescent="0.25">
      <c r="A3">
        <v>10</v>
      </c>
      <c r="B3" s="2">
        <v>42.4</v>
      </c>
      <c r="C3" s="30">
        <f>B3*4*PI()*A3*A3</f>
        <v>53281.411404882885</v>
      </c>
      <c r="G3" t="s">
        <v>0</v>
      </c>
      <c r="H3" s="2">
        <v>1.42</v>
      </c>
      <c r="I3" s="2">
        <v>0.1</v>
      </c>
      <c r="J3" s="2">
        <v>0.02</v>
      </c>
    </row>
    <row r="4" spans="1:10" x14ac:dyDescent="0.25">
      <c r="A4">
        <v>20</v>
      </c>
      <c r="B4" s="2">
        <v>19.3</v>
      </c>
      <c r="C4" s="30">
        <f t="shared" ref="C4:C14" si="0">B4*4*PI()*A4*A4</f>
        <v>97012.381142852813</v>
      </c>
      <c r="G4" t="s">
        <v>1</v>
      </c>
      <c r="H4" s="2">
        <v>1.64</v>
      </c>
      <c r="I4" s="2">
        <v>0.16</v>
      </c>
      <c r="J4" s="2">
        <v>0.04</v>
      </c>
    </row>
    <row r="5" spans="1:10" x14ac:dyDescent="0.25">
      <c r="A5">
        <v>30</v>
      </c>
      <c r="B5" s="2">
        <v>8.4</v>
      </c>
      <c r="C5" s="30">
        <f t="shared" si="0"/>
        <v>95001.761844555353</v>
      </c>
      <c r="E5" t="s">
        <v>37</v>
      </c>
      <c r="G5" t="s">
        <v>2</v>
      </c>
      <c r="H5" s="2">
        <v>2.61</v>
      </c>
      <c r="I5" s="2">
        <v>0.49</v>
      </c>
      <c r="J5" s="2">
        <v>0.11</v>
      </c>
    </row>
    <row r="6" spans="1:10" x14ac:dyDescent="0.25">
      <c r="A6" t="s">
        <v>40</v>
      </c>
      <c r="G6" t="s">
        <v>3</v>
      </c>
      <c r="H6" s="2">
        <v>1.46</v>
      </c>
      <c r="I6" s="2">
        <v>0.83</v>
      </c>
      <c r="J6" s="2">
        <v>1.53</v>
      </c>
    </row>
    <row r="7" spans="1:10" x14ac:dyDescent="0.25">
      <c r="A7">
        <v>12</v>
      </c>
      <c r="B7" s="2">
        <v>1.32</v>
      </c>
      <c r="C7" s="30">
        <f t="shared" ref="C7:C9" si="1">B7*4*PI()*A7*A7</f>
        <v>2388.6157263773916</v>
      </c>
      <c r="G7" t="s">
        <v>4</v>
      </c>
      <c r="H7" s="2">
        <v>0.03</v>
      </c>
      <c r="I7" s="2">
        <v>0</v>
      </c>
      <c r="J7" s="2">
        <v>0</v>
      </c>
    </row>
    <row r="8" spans="1:10" x14ac:dyDescent="0.25">
      <c r="A8">
        <v>25</v>
      </c>
      <c r="B8" s="2">
        <v>0.35</v>
      </c>
      <c r="C8" s="30">
        <f t="shared" si="1"/>
        <v>2748.8935718910689</v>
      </c>
      <c r="G8" t="s">
        <v>5</v>
      </c>
      <c r="H8" s="2">
        <v>0.63</v>
      </c>
      <c r="I8" s="2">
        <v>0.02</v>
      </c>
      <c r="J8" s="2">
        <v>0</v>
      </c>
    </row>
    <row r="9" spans="1:10" x14ac:dyDescent="0.25">
      <c r="A9">
        <v>38</v>
      </c>
      <c r="B9" s="2">
        <v>0.26</v>
      </c>
      <c r="C9" s="30">
        <f t="shared" si="1"/>
        <v>4717.9181834550081</v>
      </c>
      <c r="G9" t="s">
        <v>6</v>
      </c>
      <c r="H9" s="2">
        <v>0.84</v>
      </c>
      <c r="I9" s="2">
        <v>0.08</v>
      </c>
      <c r="J9" s="2">
        <v>0.01</v>
      </c>
    </row>
    <row r="10" spans="1:10" x14ac:dyDescent="0.25">
      <c r="A10" t="s">
        <v>41</v>
      </c>
      <c r="G10" t="s">
        <v>7</v>
      </c>
      <c r="H10" s="2">
        <v>0.56999999999999995</v>
      </c>
      <c r="I10" s="2">
        <v>0.13</v>
      </c>
      <c r="J10" s="2">
        <v>0.06</v>
      </c>
    </row>
    <row r="11" spans="1:10" x14ac:dyDescent="0.25">
      <c r="A11">
        <v>12</v>
      </c>
      <c r="B11" s="2">
        <v>1.23</v>
      </c>
      <c r="C11" s="30">
        <f t="shared" ref="C11:C13" si="2">B11*4*PI()*A11*A11</f>
        <v>2225.7555632152967</v>
      </c>
      <c r="G11" t="s">
        <v>8</v>
      </c>
      <c r="H11" s="2">
        <v>1.1000000000000001</v>
      </c>
      <c r="I11" s="2">
        <v>0.09</v>
      </c>
      <c r="J11" s="2">
        <v>0.01</v>
      </c>
    </row>
    <row r="12" spans="1:10" x14ac:dyDescent="0.25">
      <c r="A12">
        <v>25</v>
      </c>
      <c r="B12" s="2">
        <v>0.43</v>
      </c>
      <c r="C12" s="30">
        <f t="shared" si="2"/>
        <v>3377.2121026090276</v>
      </c>
      <c r="G12" t="s">
        <v>9</v>
      </c>
      <c r="H12" s="2">
        <v>1.2</v>
      </c>
      <c r="I12" s="2">
        <v>0.33</v>
      </c>
      <c r="J12" s="2">
        <v>0.04</v>
      </c>
    </row>
    <row r="13" spans="1:10" x14ac:dyDescent="0.25">
      <c r="A13">
        <v>38</v>
      </c>
      <c r="B13" s="2">
        <v>0.27</v>
      </c>
      <c r="C13" s="30">
        <f t="shared" si="2"/>
        <v>4899.3765751263554</v>
      </c>
      <c r="G13" t="s">
        <v>10</v>
      </c>
      <c r="H13" s="2">
        <v>1.83</v>
      </c>
      <c r="I13" s="2">
        <v>0.38</v>
      </c>
      <c r="J13" s="2">
        <v>0.11</v>
      </c>
    </row>
    <row r="14" spans="1:10" x14ac:dyDescent="0.25">
      <c r="G14" t="s">
        <v>11</v>
      </c>
      <c r="H14" s="2">
        <v>2.46</v>
      </c>
      <c r="I14" s="2">
        <v>1.6</v>
      </c>
      <c r="J14" s="2">
        <v>1.19</v>
      </c>
    </row>
    <row r="15" spans="1:10" x14ac:dyDescent="0.25">
      <c r="A15" s="1"/>
      <c r="B15" s="31"/>
      <c r="C15" s="32"/>
      <c r="G15" t="s">
        <v>38</v>
      </c>
      <c r="H15" s="2">
        <f>AVERAGE(H3:H14)</f>
        <v>1.3158333333333332</v>
      </c>
      <c r="I15" s="2">
        <f t="shared" ref="I15:J15" si="3">AVERAGE(I3:I14)</f>
        <v>0.35083333333333333</v>
      </c>
      <c r="J15" s="2">
        <f t="shared" si="3"/>
        <v>0.26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WeightData</vt:lpstr>
      <vt:lpstr>Gel</vt:lpstr>
      <vt:lpstr>PowerData</vt:lpstr>
      <vt:lpstr>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Marlier</dc:creator>
  <cp:lastModifiedBy>Paul Marlier</cp:lastModifiedBy>
  <dcterms:created xsi:type="dcterms:W3CDTF">2015-06-05T18:17:20Z</dcterms:created>
  <dcterms:modified xsi:type="dcterms:W3CDTF">2023-08-16T01:48:43Z</dcterms:modified>
</cp:coreProperties>
</file>