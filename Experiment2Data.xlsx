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liveumb-my.sharepoint.com/personal/paul_marlier001_umb_edu/Documents/Dr Celli/"/>
    </mc:Choice>
  </mc:AlternateContent>
  <xr:revisionPtr revIDLastSave="226" documentId="11_F25DC773A252ABDACC1048D831D85F0C5ADE58EF" xr6:coauthVersionLast="47" xr6:coauthVersionMax="47" xr10:uidLastSave="{60B9C059-B7F1-4623-8358-14A52C0374F4}"/>
  <bookViews>
    <workbookView xWindow="-120" yWindow="-120" windowWidth="20730" windowHeight="11040" activeTab="1" xr2:uid="{00000000-000D-0000-FFFF-FFFF00000000}"/>
  </bookViews>
  <sheets>
    <sheet name="CylindricalTests" sheetId="1" r:id="rId1"/>
    <sheet name="TipTest" sheetId="3" r:id="rId2"/>
    <sheet name="Graph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4" i="1"/>
</calcChain>
</file>

<file path=xl/sharedStrings.xml><?xml version="1.0" encoding="utf-8"?>
<sst xmlns="http://schemas.openxmlformats.org/spreadsheetml/2006/main" count="24" uniqueCount="13">
  <si>
    <t>r (cm)</t>
  </si>
  <si>
    <r>
      <t>m</t>
    </r>
    <r>
      <rPr>
        <sz val="11"/>
        <color theme="1"/>
        <rFont val="Calibri"/>
        <family val="2"/>
        <scheme val="minor"/>
      </rPr>
      <t xml:space="preserve"> W</t>
    </r>
  </si>
  <si>
    <t>Measured Data 1</t>
  </si>
  <si>
    <t>Data 2</t>
  </si>
  <si>
    <t>Data 3</t>
  </si>
  <si>
    <t>Data AVG</t>
  </si>
  <si>
    <t>m W</t>
  </si>
  <si>
    <t>LED OFF 1</t>
  </si>
  <si>
    <t>LED OFF 2</t>
  </si>
  <si>
    <t>LED OFF AVG</t>
  </si>
  <si>
    <t>Power Adjusted</t>
  </si>
  <si>
    <t>r Adjusted (r + 2.3)</t>
  </si>
  <si>
    <t>Power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</si>
</sst>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Tip</a:t>
            </a:r>
            <a:r>
              <a:rPr lang="en-US" sz="1100" baseline="0"/>
              <a:t> Measurements of Optical Fiber </a:t>
            </a:r>
            <a:endParaRPr lang="en-US" sz="1100"/>
          </a:p>
          <a:p>
            <a:pPr>
              <a:defRPr/>
            </a:pPr>
            <a:r>
              <a:rPr lang="en-US" sz="1100"/>
              <a:t>Power Measured </a:t>
            </a:r>
            <a:r>
              <a:rPr lang="en-US"/>
              <a:t>(mW) </a:t>
            </a:r>
            <a:r>
              <a:rPr lang="en-US" sz="1100"/>
              <a:t>vs Distance from Source </a:t>
            </a:r>
            <a:r>
              <a:rPr lang="en-US"/>
              <a:t>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TipTest!$B$2</c:f>
              <c:strCache>
                <c:ptCount val="1"/>
                <c:pt idx="0">
                  <c:v>Power (mW)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4132720909886265"/>
                  <c:y val="-0.3037576552930883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1.6655e</a:t>
                    </a:r>
                    <a:r>
                      <a:rPr lang="en-US" sz="1400" baseline="30000"/>
                      <a:t>-0.327x</a:t>
                    </a:r>
                    <a:endParaRPr lang="en-US" sz="1400">
                      <a:latin typeface="+mn-lt"/>
                    </a:endParaRPr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TipTest!$A$3:$A$18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TipTest!$B$3:$B$18</c:f>
              <c:numCache>
                <c:formatCode>0.00</c:formatCode>
                <c:ptCount val="16"/>
                <c:pt idx="0">
                  <c:v>5.88</c:v>
                </c:pt>
                <c:pt idx="1">
                  <c:v>1.9</c:v>
                </c:pt>
                <c:pt idx="2">
                  <c:v>0.91</c:v>
                </c:pt>
                <c:pt idx="3">
                  <c:v>0.49399999999999999</c:v>
                </c:pt>
                <c:pt idx="4">
                  <c:v>0.29499999999999998</c:v>
                </c:pt>
                <c:pt idx="5">
                  <c:v>0.19700000000000001</c:v>
                </c:pt>
                <c:pt idx="6">
                  <c:v>0.14360000000000001</c:v>
                </c:pt>
                <c:pt idx="7">
                  <c:v>0.1036</c:v>
                </c:pt>
                <c:pt idx="8">
                  <c:v>7.8299999999999995E-2</c:v>
                </c:pt>
                <c:pt idx="9">
                  <c:v>6.4100000000000004E-2</c:v>
                </c:pt>
                <c:pt idx="10">
                  <c:v>5.0599999999999999E-2</c:v>
                </c:pt>
                <c:pt idx="11">
                  <c:v>4.2999999999999997E-2</c:v>
                </c:pt>
                <c:pt idx="12">
                  <c:v>3.5000000000000003E-2</c:v>
                </c:pt>
                <c:pt idx="13">
                  <c:v>3.0300000000000001E-2</c:v>
                </c:pt>
                <c:pt idx="14">
                  <c:v>2.69E-2</c:v>
                </c:pt>
                <c:pt idx="15">
                  <c:v>2.3599999999999999E-2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82-4BA7-84DC-2A32A0F86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927759"/>
        <c:axId val="714554975"/>
      </c:scatterChart>
      <c:valAx>
        <c:axId val="86292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</a:t>
                </a:r>
                <a:r>
                  <a:rPr lang="en-US" baseline="0"/>
                  <a:t> Light Source (cm)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554975"/>
        <c:crosses val="autoZero"/>
        <c:crossBetween val="midCat"/>
      </c:valAx>
      <c:valAx>
        <c:axId val="71455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Measured</a:t>
                </a:r>
                <a:r>
                  <a:rPr lang="en-US" baseline="0"/>
                  <a:t> (mW)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92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Tip</a:t>
            </a:r>
            <a:r>
              <a:rPr lang="en-US" sz="1100" baseline="0"/>
              <a:t> Measurements of Optical Fiber </a:t>
            </a:r>
            <a:endParaRPr lang="en-US" sz="1100"/>
          </a:p>
          <a:p>
            <a:pPr>
              <a:defRPr/>
            </a:pPr>
            <a:r>
              <a:rPr lang="en-US" sz="1100"/>
              <a:t>Power Measured </a:t>
            </a:r>
            <a:r>
              <a:rPr lang="en-US"/>
              <a:t>(mW) </a:t>
            </a:r>
            <a:r>
              <a:rPr lang="en-US" sz="1100"/>
              <a:t>vs Distance from Source </a:t>
            </a:r>
            <a:r>
              <a:rPr lang="en-US"/>
              <a:t>(cm)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TipTest!$B$2</c:f>
              <c:strCache>
                <c:ptCount val="1"/>
                <c:pt idx="0">
                  <c:v>Power (mW)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4132720909886265"/>
                  <c:y val="-0.3037576552930883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1.6655e</a:t>
                    </a:r>
                    <a:r>
                      <a:rPr lang="en-US" sz="1400" baseline="30000"/>
                      <a:t>-0.327x</a:t>
                    </a:r>
                    <a:endParaRPr lang="en-US" sz="1400">
                      <a:latin typeface="+mn-lt"/>
                    </a:endParaRPr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TipTest!$A$3:$A$18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TipTest!$B$3:$B$18</c:f>
              <c:numCache>
                <c:formatCode>0.00</c:formatCode>
                <c:ptCount val="16"/>
                <c:pt idx="0">
                  <c:v>5.88</c:v>
                </c:pt>
                <c:pt idx="1">
                  <c:v>1.9</c:v>
                </c:pt>
                <c:pt idx="2">
                  <c:v>0.91</c:v>
                </c:pt>
                <c:pt idx="3">
                  <c:v>0.49399999999999999</c:v>
                </c:pt>
                <c:pt idx="4">
                  <c:v>0.29499999999999998</c:v>
                </c:pt>
                <c:pt idx="5">
                  <c:v>0.19700000000000001</c:v>
                </c:pt>
                <c:pt idx="6">
                  <c:v>0.14360000000000001</c:v>
                </c:pt>
                <c:pt idx="7">
                  <c:v>0.1036</c:v>
                </c:pt>
                <c:pt idx="8">
                  <c:v>7.8299999999999995E-2</c:v>
                </c:pt>
                <c:pt idx="9">
                  <c:v>6.4100000000000004E-2</c:v>
                </c:pt>
                <c:pt idx="10">
                  <c:v>5.0599999999999999E-2</c:v>
                </c:pt>
                <c:pt idx="11">
                  <c:v>4.2999999999999997E-2</c:v>
                </c:pt>
                <c:pt idx="12">
                  <c:v>3.5000000000000003E-2</c:v>
                </c:pt>
                <c:pt idx="13">
                  <c:v>3.0300000000000001E-2</c:v>
                </c:pt>
                <c:pt idx="14">
                  <c:v>2.69E-2</c:v>
                </c:pt>
                <c:pt idx="15">
                  <c:v>2.3599999999999999E-2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82-4BA7-84DC-2A32A0F86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927759"/>
        <c:axId val="714554975"/>
      </c:scatterChart>
      <c:valAx>
        <c:axId val="862927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</a:t>
                </a:r>
                <a:r>
                  <a:rPr lang="en-US" baseline="0"/>
                  <a:t> Light Source (cm)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554975"/>
        <c:crosses val="autoZero"/>
        <c:crossBetween val="midCat"/>
      </c:valAx>
      <c:valAx>
        <c:axId val="71455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Measured</a:t>
                </a:r>
                <a:r>
                  <a:rPr lang="en-US" baseline="0"/>
                  <a:t> (mW)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927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Cylindrical</a:t>
            </a:r>
            <a:r>
              <a:rPr lang="en-US" sz="1200" baseline="0"/>
              <a:t> Measurements of Optic Fiber</a:t>
            </a:r>
            <a:endParaRPr lang="en-US" sz="1200"/>
          </a:p>
          <a:p>
            <a:pPr>
              <a:defRPr/>
            </a:pPr>
            <a:r>
              <a:rPr lang="en-US" sz="1200"/>
              <a:t>Power Measured </a:t>
            </a:r>
            <a:r>
              <a:rPr lang="en-US"/>
              <a:t>(</a:t>
            </a:r>
            <a:r>
              <a:rPr lang="en-US">
                <a:latin typeface="Symbol" panose="05050102010706020507" pitchFamily="18" charset="2"/>
              </a:rPr>
              <a:t>m</a:t>
            </a:r>
            <a:r>
              <a:rPr lang="en-US" baseline="0"/>
              <a:t>W) vs </a:t>
            </a:r>
            <a:r>
              <a:rPr lang="en-US" sz="1200" baseline="0"/>
              <a:t>Distance from Source </a:t>
            </a:r>
            <a:r>
              <a:rPr lang="en-US" baseline="0"/>
              <a:t>(cm)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Graphs!$E$3</c:f>
              <c:strCache>
                <c:ptCount val="1"/>
                <c:pt idx="0">
                  <c:v>m 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backward val="2.2999999999999998"/>
            <c:dispRSqr val="0"/>
            <c:dispEq val="1"/>
            <c:trendlineLbl>
              <c:layout>
                <c:manualLayout>
                  <c:x val="-8.3457567804024496E-2"/>
                  <c:y val="-0.4250772820064158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75.343e</a:t>
                    </a:r>
                    <a:r>
                      <a:rPr lang="en-US" sz="1400" baseline="30000"/>
                      <a:t>-0.223x</a:t>
                    </a:r>
                    <a:endParaRPr lang="en-US" sz="1400"/>
                  </a:p>
                </c:rich>
              </c:tx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bg1">
                      <a:lumMod val="5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Graphs!$D$4:$D$19</c:f>
              <c:numCache>
                <c:formatCode>General</c:formatCode>
                <c:ptCount val="16"/>
                <c:pt idx="0">
                  <c:v>2.2999999999999998</c:v>
                </c:pt>
                <c:pt idx="1">
                  <c:v>3.3</c:v>
                </c:pt>
                <c:pt idx="2">
                  <c:v>4.3</c:v>
                </c:pt>
                <c:pt idx="3">
                  <c:v>5.3</c:v>
                </c:pt>
                <c:pt idx="4">
                  <c:v>6.3</c:v>
                </c:pt>
                <c:pt idx="5">
                  <c:v>7.3</c:v>
                </c:pt>
                <c:pt idx="6">
                  <c:v>8.3000000000000007</c:v>
                </c:pt>
                <c:pt idx="7">
                  <c:v>9.3000000000000007</c:v>
                </c:pt>
                <c:pt idx="8">
                  <c:v>10.3</c:v>
                </c:pt>
                <c:pt idx="9">
                  <c:v>11.3</c:v>
                </c:pt>
                <c:pt idx="10">
                  <c:v>12.3</c:v>
                </c:pt>
                <c:pt idx="11">
                  <c:v>13.3</c:v>
                </c:pt>
                <c:pt idx="12">
                  <c:v>14.3</c:v>
                </c:pt>
                <c:pt idx="13">
                  <c:v>15.3</c:v>
                </c:pt>
                <c:pt idx="14">
                  <c:v>16.3</c:v>
                </c:pt>
                <c:pt idx="15">
                  <c:v>17.3</c:v>
                </c:pt>
              </c:numCache>
            </c:numRef>
          </c:xVal>
          <c:yVal>
            <c:numRef>
              <c:f>Graphs!$E$4:$E$19</c:f>
              <c:numCache>
                <c:formatCode>0.00</c:formatCode>
                <c:ptCount val="16"/>
                <c:pt idx="0">
                  <c:v>91.096666666666664</c:v>
                </c:pt>
                <c:pt idx="1">
                  <c:v>47.44</c:v>
                </c:pt>
                <c:pt idx="2">
                  <c:v>29.561666666666667</c:v>
                </c:pt>
                <c:pt idx="3">
                  <c:v>20.149999999999999</c:v>
                </c:pt>
                <c:pt idx="4">
                  <c:v>14.716666666666667</c:v>
                </c:pt>
                <c:pt idx="5">
                  <c:v>11.156666666666668</c:v>
                </c:pt>
                <c:pt idx="6">
                  <c:v>8.7683333333333326</c:v>
                </c:pt>
                <c:pt idx="7">
                  <c:v>7.1733333333333347</c:v>
                </c:pt>
                <c:pt idx="8">
                  <c:v>5.9349999999999996</c:v>
                </c:pt>
                <c:pt idx="9">
                  <c:v>4.9949999999999992</c:v>
                </c:pt>
                <c:pt idx="10">
                  <c:v>4.24</c:v>
                </c:pt>
                <c:pt idx="11">
                  <c:v>3.7050000000000001</c:v>
                </c:pt>
                <c:pt idx="12">
                  <c:v>3.2433333333333336</c:v>
                </c:pt>
                <c:pt idx="13">
                  <c:v>2.8616666666666668</c:v>
                </c:pt>
                <c:pt idx="14">
                  <c:v>2.5783333333333327</c:v>
                </c:pt>
                <c:pt idx="15">
                  <c:v>2.2499999999999996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0-46AA-8CCB-929B6E7F0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763167"/>
        <c:axId val="714551135"/>
      </c:scatterChart>
      <c:valAx>
        <c:axId val="85976316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 Light Source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714551135"/>
        <c:crosses val="autoZero"/>
        <c:crossBetween val="midCat"/>
      </c:valAx>
      <c:valAx>
        <c:axId val="71455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Measured  (</a:t>
                </a:r>
                <a:r>
                  <a:rPr lang="en-US">
                    <a:latin typeface="Symbol" panose="05050102010706020507" pitchFamily="18" charset="2"/>
                  </a:rPr>
                  <a:t>m</a:t>
                </a:r>
                <a:r>
                  <a:rPr lang="en-US" baseline="0">
                    <a:latin typeface="+mn-lt"/>
                  </a:rPr>
                  <a:t>W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76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328612</xdr:colOff>
      <xdr:row>1</xdr:row>
      <xdr:rowOff>90487</xdr:rowOff>
    </xdr:from>
    <xdr:to>
      <xdr:col>11</xdr:col>
      <xdr:colOff>23812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4141E7-03FD-9D17-6F93-E941B7A13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481012</xdr:colOff>
      <xdr:row>2</xdr:row>
      <xdr:rowOff>52387</xdr:rowOff>
    </xdr:from>
    <xdr:to>
      <xdr:col>11</xdr:col>
      <xdr:colOff>176212</xdr:colOff>
      <xdr:row>16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AFCAE9-7B17-3361-D891-46586BBE6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547687</xdr:colOff>
      <xdr:row>3</xdr:row>
      <xdr:rowOff>61912</xdr:rowOff>
    </xdr:from>
    <xdr:to>
      <xdr:col>13</xdr:col>
      <xdr:colOff>242887</xdr:colOff>
      <xdr:row>17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91FA04-DFDB-BAF0-760F-FF843C2CC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9"/>
  <sheetViews>
    <sheetView workbookViewId="0">
      <selection activeCell="A3" sqref="A3:A19"/>
    </sheetView>
  </sheetViews>
  <sheetFormatPr defaultRowHeight="15" x14ac:dyDescent="0.25"/>
  <cols>
    <col min="2" max="5" width="9.140625" style="2"/>
  </cols>
  <sheetData>
    <row r="2" spans="1:12" x14ac:dyDescent="0.25">
      <c r="A2" s="1" t="s">
        <v>2</v>
      </c>
      <c r="B2" s="1"/>
      <c r="C2" s="2" t="s">
        <v>3</v>
      </c>
      <c r="D2" s="2" t="s">
        <v>4</v>
      </c>
      <c r="F2" s="2" t="s">
        <v>7</v>
      </c>
      <c r="G2" s="2" t="s">
        <v>8</v>
      </c>
      <c r="J2" s="2" t="s">
        <v>5</v>
      </c>
      <c r="K2" s="2" t="s">
        <v>9</v>
      </c>
      <c r="L2" s="2" t="s">
        <v>10</v>
      </c>
    </row>
    <row r="3" spans="1:12" x14ac:dyDescent="0.25">
      <c r="A3" t="s">
        <v>0</v>
      </c>
      <c r="B3" s="3" t="s">
        <v>1</v>
      </c>
      <c r="C3" s="3" t="s">
        <v>1</v>
      </c>
      <c r="D3" s="3" t="s">
        <v>1</v>
      </c>
      <c r="F3" s="3" t="s">
        <v>1</v>
      </c>
      <c r="G3" s="3" t="s">
        <v>1</v>
      </c>
      <c r="I3" s="4" t="s">
        <v>11</v>
      </c>
      <c r="J3" s="3" t="s">
        <v>1</v>
      </c>
      <c r="K3" s="3" t="s">
        <v>1</v>
      </c>
      <c r="L3" s="3" t="s">
        <v>1</v>
      </c>
    </row>
    <row r="4" spans="1:12" x14ac:dyDescent="0.25">
      <c r="A4">
        <v>0</v>
      </c>
      <c r="B4" s="2">
        <v>89.4</v>
      </c>
      <c r="C4" s="2">
        <v>92.3</v>
      </c>
      <c r="D4" s="2">
        <v>93</v>
      </c>
      <c r="F4" s="2">
        <v>0.48</v>
      </c>
      <c r="G4" s="2">
        <v>0.46</v>
      </c>
      <c r="I4">
        <f>(A4+2.3)</f>
        <v>2.2999999999999998</v>
      </c>
      <c r="J4" s="2">
        <f>AVERAGE(B4,C4,D4)</f>
        <v>91.566666666666663</v>
      </c>
      <c r="K4" s="2">
        <f>AVERAGE(F4,G4)</f>
        <v>0.47</v>
      </c>
      <c r="L4" s="2">
        <f>(J4-K4)</f>
        <v>91.096666666666664</v>
      </c>
    </row>
    <row r="5" spans="1:12" x14ac:dyDescent="0.25">
      <c r="A5">
        <v>1</v>
      </c>
      <c r="B5" s="2">
        <v>46.5</v>
      </c>
      <c r="C5" s="2">
        <v>48.4</v>
      </c>
      <c r="D5" s="2">
        <v>48.8</v>
      </c>
      <c r="F5" s="2">
        <v>0.46</v>
      </c>
      <c r="G5" s="2">
        <v>0.46</v>
      </c>
      <c r="I5">
        <f t="shared" ref="I5:I19" si="0">(A5+2.3)</f>
        <v>3.3</v>
      </c>
      <c r="J5" s="2">
        <f>AVERAGE(B5,C5,D5)</f>
        <v>47.9</v>
      </c>
      <c r="K5" s="2">
        <f>AVERAGE(F5,G5)</f>
        <v>0.46</v>
      </c>
      <c r="L5" s="2">
        <f t="shared" ref="L5:L19" si="1">(J5-K5)</f>
        <v>47.44</v>
      </c>
    </row>
    <row r="6" spans="1:12" x14ac:dyDescent="0.25">
      <c r="A6">
        <v>2</v>
      </c>
      <c r="B6" s="2">
        <v>30.05</v>
      </c>
      <c r="C6" s="2">
        <v>30.3</v>
      </c>
      <c r="D6" s="2">
        <v>29.7</v>
      </c>
      <c r="F6" s="2">
        <v>0.45</v>
      </c>
      <c r="G6" s="2">
        <v>0.46</v>
      </c>
      <c r="I6">
        <f t="shared" si="0"/>
        <v>4.3</v>
      </c>
      <c r="J6" s="2">
        <f>AVERAGE(B6,C6,D6)</f>
        <v>30.016666666666666</v>
      </c>
      <c r="K6" s="2">
        <f>AVERAGE(F6,G6)</f>
        <v>0.45500000000000002</v>
      </c>
      <c r="L6" s="2">
        <f t="shared" si="1"/>
        <v>29.561666666666667</v>
      </c>
    </row>
    <row r="7" spans="1:12" x14ac:dyDescent="0.25">
      <c r="A7">
        <v>3</v>
      </c>
      <c r="B7" s="2">
        <v>20.2</v>
      </c>
      <c r="C7" s="2">
        <v>20.7</v>
      </c>
      <c r="D7" s="2">
        <v>20.9</v>
      </c>
      <c r="F7" s="2">
        <v>0.44</v>
      </c>
      <c r="G7" s="2">
        <v>0.46</v>
      </c>
      <c r="I7">
        <f t="shared" si="0"/>
        <v>5.3</v>
      </c>
      <c r="J7" s="2">
        <f>AVERAGE(B7,C7,D7)</f>
        <v>20.599999999999998</v>
      </c>
      <c r="K7" s="2">
        <f>AVERAGE(F7,G7)</f>
        <v>0.45</v>
      </c>
      <c r="L7" s="2">
        <f t="shared" si="1"/>
        <v>20.149999999999999</v>
      </c>
    </row>
    <row r="8" spans="1:12" x14ac:dyDescent="0.25">
      <c r="A8">
        <v>4</v>
      </c>
      <c r="B8" s="2">
        <v>15.3</v>
      </c>
      <c r="C8" s="2">
        <v>15</v>
      </c>
      <c r="D8" s="2">
        <v>15.2</v>
      </c>
      <c r="F8" s="2">
        <v>0.44</v>
      </c>
      <c r="G8" s="2">
        <v>0.46</v>
      </c>
      <c r="I8">
        <f t="shared" si="0"/>
        <v>6.3</v>
      </c>
      <c r="J8" s="2">
        <f>AVERAGE(B8,C8,D8)</f>
        <v>15.166666666666666</v>
      </c>
      <c r="K8" s="2">
        <f>AVERAGE(F8,G8)</f>
        <v>0.45</v>
      </c>
      <c r="L8" s="2">
        <f t="shared" si="1"/>
        <v>14.716666666666667</v>
      </c>
    </row>
    <row r="9" spans="1:12" x14ac:dyDescent="0.25">
      <c r="A9">
        <v>5</v>
      </c>
      <c r="B9" s="2">
        <v>11.82</v>
      </c>
      <c r="C9" s="2">
        <v>11.43</v>
      </c>
      <c r="D9" s="2">
        <v>11.57</v>
      </c>
      <c r="F9" s="2">
        <v>0.43</v>
      </c>
      <c r="G9" s="2">
        <v>0.47</v>
      </c>
      <c r="I9">
        <f t="shared" si="0"/>
        <v>7.3</v>
      </c>
      <c r="J9" s="2">
        <f>AVERAGE(B9,C9,D9)</f>
        <v>11.606666666666667</v>
      </c>
      <c r="K9" s="2">
        <f>AVERAGE(F9,G9)</f>
        <v>0.44999999999999996</v>
      </c>
      <c r="L9" s="2">
        <f t="shared" si="1"/>
        <v>11.156666666666668</v>
      </c>
    </row>
    <row r="10" spans="1:12" x14ac:dyDescent="0.25">
      <c r="A10">
        <v>6</v>
      </c>
      <c r="B10" s="2">
        <v>9.3000000000000007</v>
      </c>
      <c r="C10" s="2">
        <v>9.15</v>
      </c>
      <c r="D10" s="2">
        <v>9.19</v>
      </c>
      <c r="F10" s="2">
        <v>0.42</v>
      </c>
      <c r="G10" s="2">
        <v>0.47</v>
      </c>
      <c r="I10">
        <f t="shared" si="0"/>
        <v>8.3000000000000007</v>
      </c>
      <c r="J10" s="2">
        <f>AVERAGE(B10,C10,D10)</f>
        <v>9.2133333333333329</v>
      </c>
      <c r="K10" s="2">
        <f>AVERAGE(F10,G10)</f>
        <v>0.44499999999999995</v>
      </c>
      <c r="L10" s="2">
        <f t="shared" si="1"/>
        <v>8.7683333333333326</v>
      </c>
    </row>
    <row r="11" spans="1:12" x14ac:dyDescent="0.25">
      <c r="A11">
        <v>7</v>
      </c>
      <c r="B11" s="2">
        <v>7.62</v>
      </c>
      <c r="C11" s="2">
        <v>7.68</v>
      </c>
      <c r="D11" s="2">
        <v>7.51</v>
      </c>
      <c r="F11" s="2">
        <v>0.41</v>
      </c>
      <c r="G11" s="2">
        <v>0.45</v>
      </c>
      <c r="I11">
        <f t="shared" si="0"/>
        <v>9.3000000000000007</v>
      </c>
      <c r="J11" s="2">
        <f>AVERAGE(B11,C11,D11)</f>
        <v>7.6033333333333344</v>
      </c>
      <c r="K11" s="2">
        <f>AVERAGE(F11,G11)</f>
        <v>0.43</v>
      </c>
      <c r="L11" s="2">
        <f t="shared" si="1"/>
        <v>7.1733333333333347</v>
      </c>
    </row>
    <row r="12" spans="1:12" x14ac:dyDescent="0.25">
      <c r="A12">
        <v>8</v>
      </c>
      <c r="B12" s="2">
        <v>6.44</v>
      </c>
      <c r="C12" s="2">
        <v>6.38</v>
      </c>
      <c r="D12" s="2">
        <v>6.26</v>
      </c>
      <c r="F12" s="2">
        <v>0.4</v>
      </c>
      <c r="G12" s="2">
        <v>0.45</v>
      </c>
      <c r="I12">
        <f t="shared" si="0"/>
        <v>10.3</v>
      </c>
      <c r="J12" s="2">
        <f>AVERAGE(B12,C12,D12)</f>
        <v>6.3599999999999994</v>
      </c>
      <c r="K12" s="2">
        <f>AVERAGE(F12,G12)</f>
        <v>0.42500000000000004</v>
      </c>
      <c r="L12" s="2">
        <f t="shared" si="1"/>
        <v>5.9349999999999996</v>
      </c>
    </row>
    <row r="13" spans="1:12" x14ac:dyDescent="0.25">
      <c r="A13">
        <v>9</v>
      </c>
      <c r="B13" s="2">
        <v>5.47</v>
      </c>
      <c r="C13" s="2">
        <v>5.43</v>
      </c>
      <c r="D13" s="2">
        <v>5.36</v>
      </c>
      <c r="F13" s="2">
        <v>0.4</v>
      </c>
      <c r="G13" s="2">
        <v>0.45</v>
      </c>
      <c r="I13">
        <f t="shared" si="0"/>
        <v>11.3</v>
      </c>
      <c r="J13" s="2">
        <f>AVERAGE(B13,C13,D13)</f>
        <v>5.419999999999999</v>
      </c>
      <c r="K13" s="2">
        <f>AVERAGE(F13,G13)</f>
        <v>0.42500000000000004</v>
      </c>
      <c r="L13" s="2">
        <f t="shared" si="1"/>
        <v>4.9949999999999992</v>
      </c>
    </row>
    <row r="14" spans="1:12" x14ac:dyDescent="0.25">
      <c r="A14">
        <v>10</v>
      </c>
      <c r="B14" s="2">
        <v>4.62</v>
      </c>
      <c r="C14" s="2">
        <v>4.75</v>
      </c>
      <c r="D14" s="2">
        <v>4.6100000000000003</v>
      </c>
      <c r="F14" s="2">
        <v>0.4</v>
      </c>
      <c r="G14" s="2">
        <v>0.44</v>
      </c>
      <c r="I14">
        <f t="shared" si="0"/>
        <v>12.3</v>
      </c>
      <c r="J14" s="2">
        <f>AVERAGE(B14,C14,D14)</f>
        <v>4.66</v>
      </c>
      <c r="K14" s="2">
        <f>AVERAGE(F14,G14)</f>
        <v>0.42000000000000004</v>
      </c>
      <c r="L14" s="2">
        <f t="shared" si="1"/>
        <v>4.24</v>
      </c>
    </row>
    <row r="15" spans="1:12" x14ac:dyDescent="0.25">
      <c r="A15">
        <v>11</v>
      </c>
      <c r="B15" s="2">
        <v>4.18</v>
      </c>
      <c r="C15" s="2">
        <v>4.18</v>
      </c>
      <c r="D15" s="2">
        <v>4.03</v>
      </c>
      <c r="F15" s="2">
        <v>0.41</v>
      </c>
      <c r="G15" s="2">
        <v>0.44</v>
      </c>
      <c r="I15">
        <f t="shared" si="0"/>
        <v>13.3</v>
      </c>
      <c r="J15" s="2">
        <f>AVERAGE(B15,C15,D15)</f>
        <v>4.13</v>
      </c>
      <c r="K15" s="2">
        <f>AVERAGE(F15,G15)</f>
        <v>0.42499999999999999</v>
      </c>
      <c r="L15" s="2">
        <f t="shared" si="1"/>
        <v>3.7050000000000001</v>
      </c>
    </row>
    <row r="16" spans="1:12" x14ac:dyDescent="0.25">
      <c r="A16">
        <v>12</v>
      </c>
      <c r="B16" s="2">
        <v>3.71</v>
      </c>
      <c r="C16" s="2">
        <v>3.68</v>
      </c>
      <c r="D16" s="2">
        <v>3.6</v>
      </c>
      <c r="F16" s="2">
        <v>0.41</v>
      </c>
      <c r="G16" s="2">
        <v>0.43</v>
      </c>
      <c r="I16">
        <f t="shared" si="0"/>
        <v>14.3</v>
      </c>
      <c r="J16" s="2">
        <f>AVERAGE(B16,C16,D16)</f>
        <v>3.6633333333333336</v>
      </c>
      <c r="K16" s="2">
        <f>AVERAGE(F16,G16)</f>
        <v>0.42</v>
      </c>
      <c r="L16" s="2">
        <f t="shared" si="1"/>
        <v>3.2433333333333336</v>
      </c>
    </row>
    <row r="17" spans="1:12" x14ac:dyDescent="0.25">
      <c r="A17">
        <v>13</v>
      </c>
      <c r="B17" s="2">
        <v>3.3</v>
      </c>
      <c r="C17" s="2">
        <v>3.3</v>
      </c>
      <c r="D17" s="2">
        <v>3.23</v>
      </c>
      <c r="F17" s="2">
        <v>0.41</v>
      </c>
      <c r="G17" s="2">
        <v>0.42</v>
      </c>
      <c r="I17">
        <f t="shared" si="0"/>
        <v>15.3</v>
      </c>
      <c r="J17" s="2">
        <f>AVERAGE(B17,C17,D17)</f>
        <v>3.2766666666666668</v>
      </c>
      <c r="K17" s="2">
        <f>AVERAGE(F17,G17)</f>
        <v>0.41499999999999998</v>
      </c>
      <c r="L17" s="2">
        <f t="shared" si="1"/>
        <v>2.8616666666666668</v>
      </c>
    </row>
    <row r="18" spans="1:12" x14ac:dyDescent="0.25">
      <c r="A18">
        <v>14</v>
      </c>
      <c r="B18" s="2">
        <v>3.03</v>
      </c>
      <c r="C18" s="2">
        <v>3.01</v>
      </c>
      <c r="D18" s="2">
        <v>2.94</v>
      </c>
      <c r="F18" s="2">
        <v>0.41</v>
      </c>
      <c r="G18" s="2">
        <v>0.42</v>
      </c>
      <c r="I18">
        <f t="shared" si="0"/>
        <v>16.3</v>
      </c>
      <c r="J18" s="2">
        <f>AVERAGE(B18,C18,D18)</f>
        <v>2.9933333333333327</v>
      </c>
      <c r="K18" s="2">
        <f>AVERAGE(F18,G18)</f>
        <v>0.41499999999999998</v>
      </c>
      <c r="L18" s="2">
        <f t="shared" si="1"/>
        <v>2.5783333333333327</v>
      </c>
    </row>
    <row r="19" spans="1:12" x14ac:dyDescent="0.25">
      <c r="A19">
        <v>15</v>
      </c>
      <c r="B19" s="2">
        <v>2.5299999999999998</v>
      </c>
      <c r="C19" s="2">
        <v>2.76</v>
      </c>
      <c r="D19" s="2">
        <v>2.69</v>
      </c>
      <c r="F19" s="2">
        <v>0.41</v>
      </c>
      <c r="G19" s="2">
        <v>0.41</v>
      </c>
      <c r="I19">
        <f t="shared" si="0"/>
        <v>17.3</v>
      </c>
      <c r="J19" s="2">
        <f>AVERAGE(B19,C19,D19)</f>
        <v>2.6599999999999997</v>
      </c>
      <c r="K19" s="2">
        <f>AVERAGE(F19,G19)</f>
        <v>0.41</v>
      </c>
      <c r="L19" s="2">
        <f t="shared" si="1"/>
        <v>2.2499999999999996</v>
      </c>
    </row>
  </sheetData>
  <mergeCells count="1"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F1CBE-3EF5-4BAD-81CD-372CEA2120DA}">
  <dimension ref="A2:B18"/>
  <sheetViews>
    <sheetView tabSelected="1" workbookViewId="0">
      <selection activeCell="C13" sqref="C13"/>
    </sheetView>
  </sheetViews>
  <sheetFormatPr defaultRowHeight="15" x14ac:dyDescent="0.25"/>
  <cols>
    <col min="2" max="2" width="9.140625" style="2"/>
  </cols>
  <sheetData>
    <row r="2" spans="1:2" x14ac:dyDescent="0.25">
      <c r="A2" t="s">
        <v>0</v>
      </c>
      <c r="B2" s="2" t="s">
        <v>12</v>
      </c>
    </row>
    <row r="3" spans="1:2" x14ac:dyDescent="0.25">
      <c r="A3">
        <v>0</v>
      </c>
      <c r="B3" s="2">
        <v>5.88</v>
      </c>
    </row>
    <row r="4" spans="1:2" x14ac:dyDescent="0.25">
      <c r="A4">
        <v>1</v>
      </c>
      <c r="B4" s="2">
        <v>1.9</v>
      </c>
    </row>
    <row r="5" spans="1:2" x14ac:dyDescent="0.25">
      <c r="A5">
        <v>2</v>
      </c>
      <c r="B5" s="2">
        <v>0.91</v>
      </c>
    </row>
    <row r="6" spans="1:2" x14ac:dyDescent="0.25">
      <c r="A6">
        <v>3</v>
      </c>
      <c r="B6" s="2">
        <v>0.49399999999999999</v>
      </c>
    </row>
    <row r="7" spans="1:2" x14ac:dyDescent="0.25">
      <c r="A7">
        <v>4</v>
      </c>
      <c r="B7" s="2">
        <v>0.29499999999999998</v>
      </c>
    </row>
    <row r="8" spans="1:2" x14ac:dyDescent="0.25">
      <c r="A8">
        <v>5</v>
      </c>
      <c r="B8" s="2">
        <v>0.19700000000000001</v>
      </c>
    </row>
    <row r="9" spans="1:2" x14ac:dyDescent="0.25">
      <c r="A9">
        <v>6</v>
      </c>
      <c r="B9" s="2">
        <v>0.14360000000000001</v>
      </c>
    </row>
    <row r="10" spans="1:2" x14ac:dyDescent="0.25">
      <c r="A10">
        <v>7</v>
      </c>
      <c r="B10" s="2">
        <v>0.1036</v>
      </c>
    </row>
    <row r="11" spans="1:2" x14ac:dyDescent="0.25">
      <c r="A11">
        <v>8</v>
      </c>
      <c r="B11" s="2">
        <v>7.8299999999999995E-2</v>
      </c>
    </row>
    <row r="12" spans="1:2" x14ac:dyDescent="0.25">
      <c r="A12">
        <v>9</v>
      </c>
      <c r="B12" s="2">
        <v>6.4100000000000004E-2</v>
      </c>
    </row>
    <row r="13" spans="1:2" x14ac:dyDescent="0.25">
      <c r="A13">
        <v>10</v>
      </c>
      <c r="B13" s="2">
        <v>5.0599999999999999E-2</v>
      </c>
    </row>
    <row r="14" spans="1:2" x14ac:dyDescent="0.25">
      <c r="A14">
        <v>11</v>
      </c>
      <c r="B14" s="2">
        <v>4.2999999999999997E-2</v>
      </c>
    </row>
    <row r="15" spans="1:2" x14ac:dyDescent="0.25">
      <c r="A15">
        <v>12</v>
      </c>
      <c r="B15" s="2">
        <v>3.5000000000000003E-2</v>
      </c>
    </row>
    <row r="16" spans="1:2" x14ac:dyDescent="0.25">
      <c r="A16">
        <v>13</v>
      </c>
      <c r="B16" s="2">
        <v>3.0300000000000001E-2</v>
      </c>
    </row>
    <row r="17" spans="1:2" x14ac:dyDescent="0.25">
      <c r="A17">
        <v>14</v>
      </c>
      <c r="B17" s="2">
        <v>2.69E-2</v>
      </c>
    </row>
    <row r="18" spans="1:2" x14ac:dyDescent="0.25">
      <c r="A18">
        <v>15</v>
      </c>
      <c r="B18" s="2">
        <v>2.3599999999999999E-2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03C4-C4D2-45D6-85A4-421F7769E203}">
  <dimension ref="A3:E19"/>
  <sheetViews>
    <sheetView workbookViewId="0">
      <selection activeCell="M2" sqref="M2"/>
    </sheetView>
  </sheetViews>
  <sheetFormatPr defaultRowHeight="15" x14ac:dyDescent="0.25"/>
  <cols>
    <col min="2" max="2" width="9.140625" style="2"/>
    <col min="5" max="5" width="9.140625" style="2"/>
  </cols>
  <sheetData>
    <row r="3" spans="1:5" x14ac:dyDescent="0.25">
      <c r="A3" t="s">
        <v>0</v>
      </c>
      <c r="B3" s="2" t="s">
        <v>6</v>
      </c>
      <c r="D3" t="s">
        <v>11</v>
      </c>
      <c r="E3" s="2" t="s">
        <v>6</v>
      </c>
    </row>
    <row r="4" spans="1:5" x14ac:dyDescent="0.25">
      <c r="A4">
        <v>0</v>
      </c>
      <c r="B4" s="2">
        <v>91.566666666666663</v>
      </c>
      <c r="D4">
        <v>2.2999999999999998</v>
      </c>
      <c r="E4" s="2">
        <v>91.096666666666664</v>
      </c>
    </row>
    <row r="5" spans="1:5" x14ac:dyDescent="0.25">
      <c r="A5">
        <v>1</v>
      </c>
      <c r="B5" s="2">
        <v>47.9</v>
      </c>
      <c r="D5">
        <v>3.3</v>
      </c>
      <c r="E5" s="2">
        <v>47.44</v>
      </c>
    </row>
    <row r="6" spans="1:5" x14ac:dyDescent="0.25">
      <c r="A6">
        <v>2</v>
      </c>
      <c r="B6" s="2">
        <v>30.016666666666666</v>
      </c>
      <c r="D6">
        <v>4.3</v>
      </c>
      <c r="E6" s="2">
        <v>29.561666666666667</v>
      </c>
    </row>
    <row r="7" spans="1:5" x14ac:dyDescent="0.25">
      <c r="A7">
        <v>3</v>
      </c>
      <c r="B7" s="2">
        <v>20.599999999999998</v>
      </c>
      <c r="D7">
        <v>5.3</v>
      </c>
      <c r="E7" s="2">
        <v>20.149999999999999</v>
      </c>
    </row>
    <row r="8" spans="1:5" x14ac:dyDescent="0.25">
      <c r="A8">
        <v>4</v>
      </c>
      <c r="B8" s="2">
        <v>15.166666666666666</v>
      </c>
      <c r="D8">
        <v>6.3</v>
      </c>
      <c r="E8" s="2">
        <v>14.716666666666667</v>
      </c>
    </row>
    <row r="9" spans="1:5" x14ac:dyDescent="0.25">
      <c r="A9">
        <v>5</v>
      </c>
      <c r="B9" s="2">
        <v>11.606666666666667</v>
      </c>
      <c r="D9">
        <v>7.3</v>
      </c>
      <c r="E9" s="2">
        <v>11.156666666666668</v>
      </c>
    </row>
    <row r="10" spans="1:5" x14ac:dyDescent="0.25">
      <c r="A10">
        <v>6</v>
      </c>
      <c r="B10" s="2">
        <v>9.2133333333333329</v>
      </c>
      <c r="D10">
        <v>8.3000000000000007</v>
      </c>
      <c r="E10" s="2">
        <v>8.7683333333333326</v>
      </c>
    </row>
    <row r="11" spans="1:5" x14ac:dyDescent="0.25">
      <c r="A11">
        <v>7</v>
      </c>
      <c r="B11" s="2">
        <v>7.6033333333333344</v>
      </c>
      <c r="D11">
        <v>9.3000000000000007</v>
      </c>
      <c r="E11" s="2">
        <v>7.1733333333333347</v>
      </c>
    </row>
    <row r="12" spans="1:5" x14ac:dyDescent="0.25">
      <c r="A12">
        <v>8</v>
      </c>
      <c r="B12" s="2">
        <v>6.3599999999999994</v>
      </c>
      <c r="D12">
        <v>10.3</v>
      </c>
      <c r="E12" s="2">
        <v>5.9349999999999996</v>
      </c>
    </row>
    <row r="13" spans="1:5" x14ac:dyDescent="0.25">
      <c r="A13">
        <v>9</v>
      </c>
      <c r="B13" s="2">
        <v>5.419999999999999</v>
      </c>
      <c r="D13">
        <v>11.3</v>
      </c>
      <c r="E13" s="2">
        <v>4.9949999999999992</v>
      </c>
    </row>
    <row r="14" spans="1:5" x14ac:dyDescent="0.25">
      <c r="A14">
        <v>10</v>
      </c>
      <c r="B14" s="2">
        <v>4.66</v>
      </c>
      <c r="D14">
        <v>12.3</v>
      </c>
      <c r="E14" s="2">
        <v>4.24</v>
      </c>
    </row>
    <row r="15" spans="1:5" x14ac:dyDescent="0.25">
      <c r="A15">
        <v>11</v>
      </c>
      <c r="B15" s="2">
        <v>4.13</v>
      </c>
      <c r="D15">
        <v>13.3</v>
      </c>
      <c r="E15" s="2">
        <v>3.7050000000000001</v>
      </c>
    </row>
    <row r="16" spans="1:5" x14ac:dyDescent="0.25">
      <c r="A16">
        <v>12</v>
      </c>
      <c r="B16" s="2">
        <v>3.6633333333333336</v>
      </c>
      <c r="D16">
        <v>14.3</v>
      </c>
      <c r="E16" s="2">
        <v>3.2433333333333336</v>
      </c>
    </row>
    <row r="17" spans="1:5" x14ac:dyDescent="0.25">
      <c r="A17">
        <v>13</v>
      </c>
      <c r="B17" s="2">
        <v>3.2766666666666668</v>
      </c>
      <c r="D17">
        <v>15.3</v>
      </c>
      <c r="E17" s="2">
        <v>2.8616666666666668</v>
      </c>
    </row>
    <row r="18" spans="1:5" x14ac:dyDescent="0.25">
      <c r="A18">
        <v>14</v>
      </c>
      <c r="B18" s="2">
        <v>2.9933333333333327</v>
      </c>
      <c r="D18">
        <v>16.3</v>
      </c>
      <c r="E18" s="2">
        <v>2.5783333333333327</v>
      </c>
    </row>
    <row r="19" spans="1:5" x14ac:dyDescent="0.25">
      <c r="A19">
        <v>15</v>
      </c>
      <c r="B19" s="2">
        <v>2.6599999999999997</v>
      </c>
      <c r="D19">
        <v>17.3</v>
      </c>
      <c r="E19" s="2">
        <v>2.2499999999999996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CylindricalTests</vt:lpstr>
      <vt:lpstr>TipTest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Marlier</dc:creator>
  <cp:lastModifiedBy>Paul R Marlier</cp:lastModifiedBy>
  <dcterms:created xsi:type="dcterms:W3CDTF">2015-06-05T18:17:20Z</dcterms:created>
  <dcterms:modified xsi:type="dcterms:W3CDTF">2023-10-01T01:06:41Z</dcterms:modified>
</cp:coreProperties>
</file>